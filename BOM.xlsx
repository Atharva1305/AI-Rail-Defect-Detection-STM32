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B:\EDI 5th Sem\"/>
    </mc:Choice>
  </mc:AlternateContent>
  <xr:revisionPtr revIDLastSave="0" documentId="13_ncr:1_{B9EE0496-28F6-456B-9117-928FA723A66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BOM" sheetId="1" r:id="rId1"/>
    <sheet name="Budget Summary" sheetId="2" r:id="rId2"/>
    <sheet name="STM32 Connections" sheetId="3" r:id="rId3"/>
  </sheets>
  <calcPr calcId="191029"/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  <c r="F9" i="1"/>
  <c r="F8" i="1"/>
  <c r="F7" i="1"/>
  <c r="F6" i="1"/>
  <c r="F5" i="1"/>
  <c r="F4" i="1"/>
  <c r="F3" i="1"/>
  <c r="F2" i="1"/>
  <c r="F18" i="1" l="1"/>
</calcChain>
</file>

<file path=xl/sharedStrings.xml><?xml version="1.0" encoding="utf-8"?>
<sst xmlns="http://schemas.openxmlformats.org/spreadsheetml/2006/main" count="119" uniqueCount="92">
  <si>
    <t>Item No.</t>
  </si>
  <si>
    <t>Component</t>
  </si>
  <si>
    <t>Specification</t>
  </si>
  <si>
    <t>Qty</t>
  </si>
  <si>
    <t>Approx Unit Cost (₹)</t>
  </si>
  <si>
    <t>Approx Total Cost (₹)</t>
  </si>
  <si>
    <t>Purpose</t>
  </si>
  <si>
    <t>Priority</t>
  </si>
  <si>
    <t>Suggested Source</t>
  </si>
  <si>
    <t>ARM Cortex-M4 Development Board</t>
  </si>
  <si>
    <t>Main controller</t>
  </si>
  <si>
    <t>Essential</t>
  </si>
  <si>
    <t>ST Authorized Distributor</t>
  </si>
  <si>
    <t>MPU6050</t>
  </si>
  <si>
    <t>6-Axis Accelerometer + Gyroscope (I2C)</t>
  </si>
  <si>
    <t>Vibration sensing</t>
  </si>
  <si>
    <t>Robu / Amazon</t>
  </si>
  <si>
    <t>Piezoelectric Vibration Sensor</t>
  </si>
  <si>
    <t>27 mm Piezo Disc + Module</t>
  </si>
  <si>
    <t>High-frequency vibration detection</t>
  </si>
  <si>
    <t>Recommended</t>
  </si>
  <si>
    <t>Robu</t>
  </si>
  <si>
    <t>MAX9814 Microphone Module</t>
  </si>
  <si>
    <t>Electret Mic with AGC</t>
  </si>
  <si>
    <t>Acoustic signal capture</t>
  </si>
  <si>
    <t>Optional</t>
  </si>
  <si>
    <t>Amazon</t>
  </si>
  <si>
    <t>0.96-inch OLED Display</t>
  </si>
  <si>
    <t>128x64 I2C OLED</t>
  </si>
  <si>
    <t>Display status</t>
  </si>
  <si>
    <t>Active Buzzer</t>
  </si>
  <si>
    <t>5V Buzzer Module</t>
  </si>
  <si>
    <t>Defect alert</t>
  </si>
  <si>
    <t>Local electronics store</t>
  </si>
  <si>
    <t>MicroSD Card Module</t>
  </si>
  <si>
    <t>SPI Interface</t>
  </si>
  <si>
    <t>Local data logging</t>
  </si>
  <si>
    <t>16 GB MicroSD Card</t>
  </si>
  <si>
    <t>Class 10</t>
  </si>
  <si>
    <t>Store sensor data</t>
  </si>
  <si>
    <t>Breadboard</t>
  </si>
  <si>
    <t>830 Tie Points</t>
  </si>
  <si>
    <t>Prototyping</t>
  </si>
  <si>
    <t>Jumper Wires</t>
  </si>
  <si>
    <t>Male-Male &amp; Male-Female</t>
  </si>
  <si>
    <t>Connections</t>
  </si>
  <si>
    <t>USB Type-C/Micro USB Cable</t>
  </si>
  <si>
    <t>As per STM32 board</t>
  </si>
  <si>
    <t>Programming</t>
  </si>
  <si>
    <t>5V Power Adapter</t>
  </si>
  <si>
    <t>2A Supply</t>
  </si>
  <si>
    <t>Power source</t>
  </si>
  <si>
    <t>Metal Rail Prototype</t>
  </si>
  <si>
    <t>MS Flat Bar</t>
  </si>
  <si>
    <t>Rail simulation</t>
  </si>
  <si>
    <t>Hardware store</t>
  </si>
  <si>
    <t>Wheel/Motor Mechanism</t>
  </si>
  <si>
    <t>DC Motor + Wheel</t>
  </si>
  <si>
    <t>Simulate train movement</t>
  </si>
  <si>
    <t>Sensor Mounting Brackets</t>
  </si>
  <si>
    <t>3D Printed/Acrylic</t>
  </si>
  <si>
    <t>Sensor mounting</t>
  </si>
  <si>
    <t>Local fabrication</t>
  </si>
  <si>
    <t>Resistors &amp; Capacitors</t>
  </si>
  <si>
    <t>Assorted kit</t>
  </si>
  <si>
    <t>Signal conditioning</t>
  </si>
  <si>
    <t>Grand Total</t>
  </si>
  <si>
    <t>Project Budget Summary</t>
  </si>
  <si>
    <t>Category</t>
  </si>
  <si>
    <t>Estimated Cost (₹)</t>
  </si>
  <si>
    <t>Essential Hardware</t>
  </si>
  <si>
    <t>Recommended Add-ons</t>
  </si>
  <si>
    <t>Optional Components</t>
  </si>
  <si>
    <t>Prototype Materials</t>
  </si>
  <si>
    <t>Estimated Total</t>
  </si>
  <si>
    <t>Interface</t>
  </si>
  <si>
    <t>STM32 Pins (Example F446RE)</t>
  </si>
  <si>
    <t>I2C</t>
  </si>
  <si>
    <t>PB8 (SCL), PB9 (SDA)</t>
  </si>
  <si>
    <t>OLED</t>
  </si>
  <si>
    <t>Piezo Sensor</t>
  </si>
  <si>
    <t>ADC</t>
  </si>
  <si>
    <t>PA0</t>
  </si>
  <si>
    <t>MAX9814</t>
  </si>
  <si>
    <t>PA1</t>
  </si>
  <si>
    <t>Buzzer</t>
  </si>
  <si>
    <t>GPIO</t>
  </si>
  <si>
    <t>PA5</t>
  </si>
  <si>
    <t>MicroSD</t>
  </si>
  <si>
    <t>SPI</t>
  </si>
  <si>
    <t>PA5(SCK), PA6(MISO), PA7(MOSI), PB6(CS)</t>
  </si>
  <si>
    <t>STM32F411CEU6 Black Pill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</si>
</sst>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25" sqref="F25"/>
    </sheetView>
  </sheetViews>
  <sheetFormatPr defaultRowHeight="14.4" x14ac:dyDescent="0.3"/>
  <cols>
    <col min="1" max="1" width="11.33203125" customWidth="1"/>
    <col min="2" max="2" width="27.21875" customWidth="1"/>
    <col min="3" max="3" width="32.5546875" customWidth="1"/>
    <col min="4" max="4" width="10" customWidth="1"/>
    <col min="5" max="5" width="18.44140625" customWidth="1"/>
    <col min="6" max="6" width="20.21875" customWidth="1"/>
    <col min="7" max="9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91</v>
      </c>
      <c r="C2" t="s">
        <v>9</v>
      </c>
      <c r="D2">
        <v>1</v>
      </c>
      <c r="E2">
        <v>600</v>
      </c>
      <c r="F2">
        <f t="shared" ref="F2:F17" si="0">D2*E2</f>
        <v>600</v>
      </c>
      <c r="G2" t="s">
        <v>10</v>
      </c>
      <c r="H2" t="s">
        <v>11</v>
      </c>
      <c r="I2" t="s">
        <v>12</v>
      </c>
    </row>
    <row r="3" spans="1:9" x14ac:dyDescent="0.3">
      <c r="A3">
        <v>2</v>
      </c>
      <c r="B3" t="s">
        <v>13</v>
      </c>
      <c r="C3" t="s">
        <v>14</v>
      </c>
      <c r="D3">
        <v>1</v>
      </c>
      <c r="E3">
        <v>150</v>
      </c>
      <c r="F3">
        <f t="shared" si="0"/>
        <v>150</v>
      </c>
      <c r="G3" t="s">
        <v>15</v>
      </c>
      <c r="H3" t="s">
        <v>11</v>
      </c>
      <c r="I3" t="s">
        <v>16</v>
      </c>
    </row>
    <row r="4" spans="1:9" x14ac:dyDescent="0.3">
      <c r="A4">
        <v>3</v>
      </c>
      <c r="B4" t="s">
        <v>17</v>
      </c>
      <c r="C4" t="s">
        <v>18</v>
      </c>
      <c r="D4">
        <v>2</v>
      </c>
      <c r="E4">
        <v>50</v>
      </c>
      <c r="F4">
        <f t="shared" si="0"/>
        <v>100</v>
      </c>
      <c r="G4" t="s">
        <v>19</v>
      </c>
      <c r="H4" t="s">
        <v>20</v>
      </c>
      <c r="I4" t="s">
        <v>21</v>
      </c>
    </row>
    <row r="5" spans="1:9" x14ac:dyDescent="0.3">
      <c r="A5">
        <v>4</v>
      </c>
      <c r="B5" t="s">
        <v>22</v>
      </c>
      <c r="C5" t="s">
        <v>23</v>
      </c>
      <c r="D5">
        <v>1</v>
      </c>
      <c r="E5">
        <v>250</v>
      </c>
      <c r="F5">
        <f t="shared" si="0"/>
        <v>250</v>
      </c>
      <c r="G5" t="s">
        <v>24</v>
      </c>
      <c r="H5" t="s">
        <v>25</v>
      </c>
      <c r="I5" t="s">
        <v>26</v>
      </c>
    </row>
    <row r="6" spans="1:9" x14ac:dyDescent="0.3">
      <c r="A6">
        <v>5</v>
      </c>
      <c r="B6" t="s">
        <v>27</v>
      </c>
      <c r="C6" t="s">
        <v>28</v>
      </c>
      <c r="D6">
        <v>1</v>
      </c>
      <c r="E6">
        <v>180</v>
      </c>
      <c r="F6">
        <f t="shared" si="0"/>
        <v>180</v>
      </c>
      <c r="G6" t="s">
        <v>29</v>
      </c>
      <c r="H6" t="s">
        <v>20</v>
      </c>
      <c r="I6" t="s">
        <v>21</v>
      </c>
    </row>
    <row r="7" spans="1:9" x14ac:dyDescent="0.3">
      <c r="A7">
        <v>6</v>
      </c>
      <c r="B7" t="s">
        <v>30</v>
      </c>
      <c r="C7" t="s">
        <v>31</v>
      </c>
      <c r="D7">
        <v>1</v>
      </c>
      <c r="E7">
        <v>25</v>
      </c>
      <c r="F7">
        <f t="shared" si="0"/>
        <v>25</v>
      </c>
      <c r="G7" t="s">
        <v>32</v>
      </c>
      <c r="H7" t="s">
        <v>20</v>
      </c>
      <c r="I7" t="s">
        <v>33</v>
      </c>
    </row>
    <row r="8" spans="1:9" x14ac:dyDescent="0.3">
      <c r="A8">
        <v>7</v>
      </c>
      <c r="B8" t="s">
        <v>34</v>
      </c>
      <c r="C8" t="s">
        <v>35</v>
      </c>
      <c r="D8">
        <v>1</v>
      </c>
      <c r="E8">
        <v>120</v>
      </c>
      <c r="F8">
        <f t="shared" si="0"/>
        <v>120</v>
      </c>
      <c r="G8" t="s">
        <v>36</v>
      </c>
      <c r="H8" t="s">
        <v>25</v>
      </c>
      <c r="I8" t="s">
        <v>21</v>
      </c>
    </row>
    <row r="9" spans="1:9" x14ac:dyDescent="0.3">
      <c r="A9">
        <v>8</v>
      </c>
      <c r="B9" t="s">
        <v>37</v>
      </c>
      <c r="C9" t="s">
        <v>38</v>
      </c>
      <c r="D9">
        <v>1</v>
      </c>
      <c r="E9">
        <v>300</v>
      </c>
      <c r="F9">
        <f t="shared" si="0"/>
        <v>300</v>
      </c>
      <c r="G9" t="s">
        <v>39</v>
      </c>
      <c r="H9" t="s">
        <v>25</v>
      </c>
      <c r="I9" t="s">
        <v>26</v>
      </c>
    </row>
    <row r="10" spans="1:9" x14ac:dyDescent="0.3">
      <c r="A10">
        <v>9</v>
      </c>
      <c r="B10" t="s">
        <v>40</v>
      </c>
      <c r="C10" t="s">
        <v>41</v>
      </c>
      <c r="D10">
        <v>1</v>
      </c>
      <c r="E10">
        <v>0</v>
      </c>
      <c r="F10">
        <v>0</v>
      </c>
      <c r="G10" t="s">
        <v>42</v>
      </c>
      <c r="H10" t="s">
        <v>11</v>
      </c>
      <c r="I10" t="s">
        <v>33</v>
      </c>
    </row>
    <row r="11" spans="1:9" x14ac:dyDescent="0.3">
      <c r="A11">
        <v>10</v>
      </c>
      <c r="B11" t="s">
        <v>43</v>
      </c>
      <c r="C11" t="s">
        <v>44</v>
      </c>
      <c r="D11">
        <v>1</v>
      </c>
      <c r="E11">
        <v>40</v>
      </c>
      <c r="F11">
        <f t="shared" si="0"/>
        <v>40</v>
      </c>
      <c r="G11" t="s">
        <v>45</v>
      </c>
      <c r="H11" t="s">
        <v>11</v>
      </c>
      <c r="I11" t="s">
        <v>33</v>
      </c>
    </row>
    <row r="12" spans="1:9" x14ac:dyDescent="0.3">
      <c r="A12">
        <v>11</v>
      </c>
      <c r="B12" t="s">
        <v>46</v>
      </c>
      <c r="C12" t="s">
        <v>47</v>
      </c>
      <c r="D12">
        <v>1</v>
      </c>
      <c r="E12">
        <v>0</v>
      </c>
      <c r="F12">
        <f t="shared" si="0"/>
        <v>0</v>
      </c>
      <c r="G12" t="s">
        <v>48</v>
      </c>
      <c r="H12" t="s">
        <v>11</v>
      </c>
      <c r="I12" t="s">
        <v>33</v>
      </c>
    </row>
    <row r="13" spans="1:9" x14ac:dyDescent="0.3">
      <c r="A13">
        <v>12</v>
      </c>
      <c r="B13" t="s">
        <v>49</v>
      </c>
      <c r="C13" t="s">
        <v>50</v>
      </c>
      <c r="D13">
        <v>1</v>
      </c>
      <c r="E13">
        <v>0</v>
      </c>
      <c r="F13">
        <f t="shared" si="0"/>
        <v>0</v>
      </c>
      <c r="G13" t="s">
        <v>51</v>
      </c>
      <c r="H13" t="s">
        <v>20</v>
      </c>
      <c r="I13" t="s">
        <v>26</v>
      </c>
    </row>
    <row r="14" spans="1:9" x14ac:dyDescent="0.3">
      <c r="A14">
        <v>13</v>
      </c>
      <c r="B14" t="s">
        <v>52</v>
      </c>
      <c r="C14" t="s">
        <v>53</v>
      </c>
      <c r="D14">
        <v>1</v>
      </c>
      <c r="E14">
        <v>500</v>
      </c>
      <c r="F14">
        <f t="shared" si="0"/>
        <v>500</v>
      </c>
      <c r="G14" t="s">
        <v>54</v>
      </c>
      <c r="H14" t="s">
        <v>11</v>
      </c>
      <c r="I14" t="s">
        <v>55</v>
      </c>
    </row>
    <row r="15" spans="1:9" x14ac:dyDescent="0.3">
      <c r="A15">
        <v>14</v>
      </c>
      <c r="B15" t="s">
        <v>56</v>
      </c>
      <c r="C15" t="s">
        <v>57</v>
      </c>
      <c r="D15">
        <v>1</v>
      </c>
      <c r="E15">
        <v>450</v>
      </c>
      <c r="F15">
        <f t="shared" si="0"/>
        <v>450</v>
      </c>
      <c r="G15" t="s">
        <v>58</v>
      </c>
      <c r="H15" t="s">
        <v>20</v>
      </c>
      <c r="I15" t="s">
        <v>21</v>
      </c>
    </row>
    <row r="16" spans="1:9" x14ac:dyDescent="0.3">
      <c r="A16">
        <v>15</v>
      </c>
      <c r="B16" t="s">
        <v>59</v>
      </c>
      <c r="C16" t="s">
        <v>60</v>
      </c>
      <c r="D16">
        <v>2</v>
      </c>
      <c r="E16">
        <v>100</v>
      </c>
      <c r="F16">
        <f t="shared" si="0"/>
        <v>200</v>
      </c>
      <c r="G16" t="s">
        <v>61</v>
      </c>
      <c r="H16" t="s">
        <v>20</v>
      </c>
      <c r="I16" t="s">
        <v>62</v>
      </c>
    </row>
    <row r="17" spans="1:9" x14ac:dyDescent="0.3">
      <c r="A17">
        <v>16</v>
      </c>
      <c r="B17" t="s">
        <v>63</v>
      </c>
      <c r="C17" t="s">
        <v>64</v>
      </c>
      <c r="D17">
        <v>1</v>
      </c>
      <c r="E17">
        <v>100</v>
      </c>
      <c r="F17">
        <f t="shared" si="0"/>
        <v>100</v>
      </c>
      <c r="G17" t="s">
        <v>65</v>
      </c>
      <c r="H17" t="s">
        <v>20</v>
      </c>
      <c r="I17" t="s">
        <v>33</v>
      </c>
    </row>
    <row r="18" spans="1:9" x14ac:dyDescent="0.3">
      <c r="E18" s="2" t="s">
        <v>66</v>
      </c>
      <c r="F18" s="2">
        <f>SUM(F2:F17)</f>
        <v>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7" sqref="D7"/>
    </sheetView>
  </sheetViews>
  <sheetFormatPr defaultRowHeight="14.4" x14ac:dyDescent="0.3"/>
  <cols>
    <col min="1" max="1" width="22.6640625" customWidth="1"/>
  </cols>
  <sheetData>
    <row r="1" spans="1:2" ht="21" x14ac:dyDescent="0.4">
      <c r="A1" s="3" t="s">
        <v>67</v>
      </c>
    </row>
    <row r="2" spans="1:2" x14ac:dyDescent="0.3">
      <c r="A2" s="2" t="s">
        <v>68</v>
      </c>
      <c r="B2" s="2" t="s">
        <v>69</v>
      </c>
    </row>
    <row r="3" spans="1:2" x14ac:dyDescent="0.3">
      <c r="A3" t="s">
        <v>70</v>
      </c>
      <c r="B3">
        <v>3070</v>
      </c>
    </row>
    <row r="4" spans="1:2" x14ac:dyDescent="0.3">
      <c r="A4" t="s">
        <v>71</v>
      </c>
      <c r="B4">
        <v>1390</v>
      </c>
    </row>
    <row r="5" spans="1:2" x14ac:dyDescent="0.3">
      <c r="A5" t="s">
        <v>72</v>
      </c>
      <c r="B5">
        <v>670</v>
      </c>
    </row>
    <row r="6" spans="1:2" x14ac:dyDescent="0.3">
      <c r="A6" t="s">
        <v>73</v>
      </c>
      <c r="B6">
        <v>950</v>
      </c>
    </row>
    <row r="7" spans="1:2" x14ac:dyDescent="0.3">
      <c r="A7" t="s">
        <v>74</v>
      </c>
      <c r="B7">
        <v>6080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3" width="32" customWidth="1"/>
  </cols>
  <sheetData>
    <row r="1" spans="1:3" x14ac:dyDescent="0.3">
      <c r="A1" s="4" t="s">
        <v>1</v>
      </c>
      <c r="B1" s="4" t="s">
        <v>75</v>
      </c>
      <c r="C1" s="4" t="s">
        <v>76</v>
      </c>
    </row>
    <row r="2" spans="1:3" x14ac:dyDescent="0.3">
      <c r="A2" t="s">
        <v>13</v>
      </c>
      <c r="B2" t="s">
        <v>77</v>
      </c>
      <c r="C2" t="s">
        <v>78</v>
      </c>
    </row>
    <row r="3" spans="1:3" x14ac:dyDescent="0.3">
      <c r="A3" t="s">
        <v>79</v>
      </c>
      <c r="B3" t="s">
        <v>77</v>
      </c>
      <c r="C3" t="s">
        <v>78</v>
      </c>
    </row>
    <row r="4" spans="1:3" x14ac:dyDescent="0.3">
      <c r="A4" t="s">
        <v>80</v>
      </c>
      <c r="B4" t="s">
        <v>81</v>
      </c>
      <c r="C4" t="s">
        <v>82</v>
      </c>
    </row>
    <row r="5" spans="1:3" x14ac:dyDescent="0.3">
      <c r="A5" t="s">
        <v>83</v>
      </c>
      <c r="B5" t="s">
        <v>81</v>
      </c>
      <c r="C5" t="s">
        <v>84</v>
      </c>
    </row>
    <row r="6" spans="1:3" x14ac:dyDescent="0.3">
      <c r="A6" t="s">
        <v>85</v>
      </c>
      <c r="B6" t="s">
        <v>86</v>
      </c>
      <c r="C6" t="s">
        <v>87</v>
      </c>
    </row>
    <row r="7" spans="1:3" x14ac:dyDescent="0.3">
      <c r="A7" t="s">
        <v>88</v>
      </c>
      <c r="B7" t="s">
        <v>89</v>
      </c>
      <c r="C7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Budget Summary</vt:lpstr>
      <vt:lpstr>STM32 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Bhagwat</cp:lastModifiedBy>
  <dcterms:created xsi:type="dcterms:W3CDTF">2026-08-25T19:34:42Z</dcterms:created>
  <dcterms:modified xsi:type="dcterms:W3CDTF">2026-08-27T05:01:13Z</dcterms:modified>
</cp:coreProperties>
</file>